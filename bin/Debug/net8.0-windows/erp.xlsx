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ffice\GUIManipulaçãoExcel\bin\Debug\net8.0-windows\"/>
    </mc:Choice>
  </mc:AlternateContent>
  <xr:revisionPtr revIDLastSave="0" documentId="13_ncr:1_{56834BD2-63CF-4205-B1C6-AA808EBD7B53}" xr6:coauthVersionLast="47" xr6:coauthVersionMax="47" xr10:uidLastSave="{00000000-0000-0000-0000-000000000000}"/>
  <bookViews>
    <workbookView xWindow="-120" yWindow="-120" windowWidth="20730" windowHeight="11160" xr2:uid="{FA0BBDC3-0B9C-41FC-8960-09002433C5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81" i="1"/>
  <c r="G78" i="1"/>
  <c r="G80" i="1"/>
  <c r="G79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3" i="1"/>
  <c r="G12" i="1"/>
  <c r="G11" i="1"/>
  <c r="G10" i="1"/>
  <c r="G9" i="1"/>
  <c r="G8" i="1"/>
  <c r="G7" i="1"/>
  <c r="G6" i="1"/>
  <c r="G5" i="1"/>
  <c r="G4" i="1"/>
  <c r="G2" i="1"/>
</calcChain>
</file>

<file path=xl/sharedStrings.xml><?xml version="1.0" encoding="utf-8"?>
<sst xmlns="http://schemas.openxmlformats.org/spreadsheetml/2006/main" count="397" uniqueCount="169">
  <si>
    <t>Cliente</t>
  </si>
  <si>
    <t>Valor
orçado</t>
  </si>
  <si>
    <t>Condição de 
pagamento</t>
  </si>
  <si>
    <t>Local da
 calibração</t>
  </si>
  <si>
    <t>Data da 
Aprovação</t>
  </si>
  <si>
    <t>Valor
 Aprovado</t>
  </si>
  <si>
    <t>Número
Ordem serviço</t>
  </si>
  <si>
    <t>Comentário</t>
  </si>
  <si>
    <t>Jacto</t>
  </si>
  <si>
    <t>21</t>
  </si>
  <si>
    <t>CTM</t>
  </si>
  <si>
    <t>2283/2025</t>
  </si>
  <si>
    <t>Serviço executado - ag pedido para faturamento</t>
  </si>
  <si>
    <t>CTJ Tecnologia</t>
  </si>
  <si>
    <t>7</t>
  </si>
  <si>
    <t>4189/2025</t>
  </si>
  <si>
    <t>OS já está no faturamento</t>
  </si>
  <si>
    <t>Termomecânica</t>
  </si>
  <si>
    <t>Cliente ainda não enviou os itens</t>
  </si>
  <si>
    <t>Legrand Caxias</t>
  </si>
  <si>
    <t>Tecnoiso</t>
  </si>
  <si>
    <t>14</t>
  </si>
  <si>
    <t>peças</t>
  </si>
  <si>
    <t>não tem OS</t>
  </si>
  <si>
    <t>Peças Fluke ag. chegar para faturamento</t>
  </si>
  <si>
    <t>Siemens EHS</t>
  </si>
  <si>
    <t xml:space="preserve">Serviço  ja realizado e vinculado no contrato - Roberto verificar não está faturado no Metroex </t>
  </si>
  <si>
    <t>Siemens Engenharia</t>
  </si>
  <si>
    <t>60</t>
  </si>
  <si>
    <t>1676/2025</t>
  </si>
  <si>
    <t>serviço já realizado e a OS foi finalizada - Roberto verificar ainda não está como faturado no Metroex</t>
  </si>
  <si>
    <t>Siemens Healthineers</t>
  </si>
  <si>
    <t>90</t>
  </si>
  <si>
    <t>3790/2025</t>
  </si>
  <si>
    <t>Fini</t>
  </si>
  <si>
    <t>35</t>
  </si>
  <si>
    <t>4307</t>
  </si>
  <si>
    <t>Serviço já foi realizado - OS no campo e faturamento</t>
  </si>
  <si>
    <t>Siemens LDA CS</t>
  </si>
  <si>
    <t>30</t>
  </si>
  <si>
    <t>Manutenção</t>
  </si>
  <si>
    <t>2169/2025</t>
  </si>
  <si>
    <t>serviço ainda não foi realizado 03/10</t>
  </si>
  <si>
    <t>BD</t>
  </si>
  <si>
    <t>3527</t>
  </si>
  <si>
    <t>Serviço realizado e OS finalizada sem faturar</t>
  </si>
  <si>
    <t>Berry</t>
  </si>
  <si>
    <t>ag agendar serviço (03/10)</t>
  </si>
  <si>
    <t>cliente</t>
  </si>
  <si>
    <t>Cebi</t>
  </si>
  <si>
    <t>3496</t>
  </si>
  <si>
    <t>ag coleta 03/10</t>
  </si>
  <si>
    <t>Cienp</t>
  </si>
  <si>
    <t>4278</t>
  </si>
  <si>
    <t>Data Centers</t>
  </si>
  <si>
    <t>3778</t>
  </si>
  <si>
    <t xml:space="preserve">Dell </t>
  </si>
  <si>
    <t>55</t>
  </si>
  <si>
    <t>4435</t>
  </si>
  <si>
    <t>Deode</t>
  </si>
  <si>
    <t>4892</t>
  </si>
  <si>
    <t>Engemo</t>
  </si>
  <si>
    <t>Cliente ainda não enviou os itens, aprovação recente</t>
  </si>
  <si>
    <t>Estática</t>
  </si>
  <si>
    <t>4957</t>
  </si>
  <si>
    <t>Fertilizantes</t>
  </si>
  <si>
    <t>3618</t>
  </si>
  <si>
    <t>G Drives</t>
  </si>
  <si>
    <t>4159</t>
  </si>
  <si>
    <t>10 DDL</t>
  </si>
  <si>
    <t>ag peças Fluke</t>
  </si>
  <si>
    <t>Ge</t>
  </si>
  <si>
    <t>Instituto Oceonagráfico</t>
  </si>
  <si>
    <t>antecipado</t>
  </si>
  <si>
    <t>3882</t>
  </si>
  <si>
    <t>ag pedido para faturamento</t>
  </si>
  <si>
    <t>4543</t>
  </si>
  <si>
    <t>Serviço em andamento, aprovação recente</t>
  </si>
  <si>
    <t xml:space="preserve">JM </t>
  </si>
  <si>
    <t>21/42</t>
  </si>
  <si>
    <t>4428</t>
  </si>
  <si>
    <t>Joyson</t>
  </si>
  <si>
    <t>4001</t>
  </si>
  <si>
    <t>ag agendar serviço</t>
  </si>
  <si>
    <t>28</t>
  </si>
  <si>
    <t>Lab System</t>
  </si>
  <si>
    <t>cliente e CTM</t>
  </si>
  <si>
    <t>Solicitar para o planejamento verificar</t>
  </si>
  <si>
    <t>3957</t>
  </si>
  <si>
    <t>Cliente / CTM</t>
  </si>
  <si>
    <t>4229</t>
  </si>
  <si>
    <t>5</t>
  </si>
  <si>
    <t>Lifting</t>
  </si>
  <si>
    <t>4125</t>
  </si>
  <si>
    <t>serviço em andamento (03/10)</t>
  </si>
  <si>
    <t>Luzion</t>
  </si>
  <si>
    <t>2909</t>
  </si>
  <si>
    <t>Marceglacia</t>
  </si>
  <si>
    <t>Metalfrio</t>
  </si>
  <si>
    <t>4147</t>
  </si>
  <si>
    <t>Nitroquimica</t>
  </si>
  <si>
    <t>4068</t>
  </si>
  <si>
    <t xml:space="preserve">Pfizer </t>
  </si>
  <si>
    <t>3941</t>
  </si>
  <si>
    <t>PPG</t>
  </si>
  <si>
    <t>3984</t>
  </si>
  <si>
    <t>Siemens Caladis</t>
  </si>
  <si>
    <t>4517</t>
  </si>
  <si>
    <t>Servio já realizado, ag pedido</t>
  </si>
  <si>
    <t>3667</t>
  </si>
  <si>
    <t>3790</t>
  </si>
  <si>
    <t>3832</t>
  </si>
  <si>
    <t>3954</t>
  </si>
  <si>
    <t>3831</t>
  </si>
  <si>
    <t>4164</t>
  </si>
  <si>
    <t>3007</t>
  </si>
  <si>
    <t>4337</t>
  </si>
  <si>
    <t>4396</t>
  </si>
  <si>
    <t>4434</t>
  </si>
  <si>
    <t>Siemens HP</t>
  </si>
  <si>
    <t>3824</t>
  </si>
  <si>
    <t>Siemens Innomotics</t>
  </si>
  <si>
    <t>4370</t>
  </si>
  <si>
    <t>Siemens PG</t>
  </si>
  <si>
    <t>3071</t>
  </si>
  <si>
    <t>4969</t>
  </si>
  <si>
    <t>Siemens RE</t>
  </si>
  <si>
    <t>3905</t>
  </si>
  <si>
    <t>Siemens Tool</t>
  </si>
  <si>
    <t>1241/2025</t>
  </si>
  <si>
    <t>Sievert</t>
  </si>
  <si>
    <t>4524</t>
  </si>
  <si>
    <t>Tamura</t>
  </si>
  <si>
    <t>4218</t>
  </si>
  <si>
    <t xml:space="preserve">Tec </t>
  </si>
  <si>
    <t>45</t>
  </si>
  <si>
    <t>3727</t>
  </si>
  <si>
    <t>3649</t>
  </si>
  <si>
    <t>Tramontina</t>
  </si>
  <si>
    <t>4341</t>
  </si>
  <si>
    <t>TSEA</t>
  </si>
  <si>
    <t>3956</t>
  </si>
  <si>
    <t>Universal Chemical</t>
  </si>
  <si>
    <t>2572</t>
  </si>
  <si>
    <t>2872</t>
  </si>
  <si>
    <t>Única Instrumentação</t>
  </si>
  <si>
    <t>3906</t>
  </si>
  <si>
    <t>YARA</t>
  </si>
  <si>
    <t>2501</t>
  </si>
  <si>
    <t>CTM (teste)</t>
  </si>
  <si>
    <t>Cliente (teste)</t>
  </si>
  <si>
    <t>21 Ola</t>
  </si>
  <si>
    <t>21 Olá</t>
  </si>
  <si>
    <t>Universal Chemical (2)</t>
  </si>
  <si>
    <t>200</t>
  </si>
  <si>
    <t>Berry MUNDO</t>
  </si>
  <si>
    <t>TESTANDO</t>
  </si>
  <si>
    <t>Número Orçamento</t>
  </si>
  <si>
    <t>800</t>
  </si>
  <si>
    <t>900</t>
  </si>
  <si>
    <t>100</t>
  </si>
  <si>
    <t>ITU</t>
  </si>
  <si>
    <t>KDL teste</t>
  </si>
  <si>
    <t>Cliente OK</t>
  </si>
  <si>
    <t>Jacto M</t>
  </si>
  <si>
    <t>DIFERENTE</t>
  </si>
  <si>
    <t>Manu</t>
  </si>
  <si>
    <t>rep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</si>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</sst>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8.25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u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3" fillId="0" borderId="1" xfId="2" applyFont="1" applyBorder="1" applyAlignment="1">
      <alignment horizontal="center" vertical="center" wrapText="1" readingOrder="1"/>
    </xf>
    <xf numFmtId="0" fontId="3" fillId="0" borderId="1" xfId="2" applyFont="1" applyBorder="1" applyAlignment="1">
      <alignment horizontal="center" vertical="center" readingOrder="1"/>
    </xf>
    <xf numFmtId="44" fontId="4" fillId="0" borderId="1" xfId="1" applyFont="1" applyBorder="1" applyAlignment="1">
      <alignment horizontal="center" vertical="center" wrapText="1" readingOrder="1"/>
    </xf>
    <xf numFmtId="0" fontId="4" fillId="0" borderId="1" xfId="2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44" fontId="5" fillId="0" borderId="1" xfId="1" applyFont="1" applyBorder="1" applyAlignment="1">
      <alignment horizontal="center" vertical="center" wrapText="1" readingOrder="1"/>
    </xf>
    <xf numFmtId="49" fontId="5" fillId="0" borderId="1" xfId="0" applyNumberFormat="1" applyFont="1" applyBorder="1" applyAlignment="1">
      <alignment horizontal="center" vertical="center" wrapText="1" readingOrder="1"/>
    </xf>
    <xf numFmtId="14" fontId="5" fillId="0" borderId="1" xfId="0" applyNumberFormat="1" applyFont="1" applyBorder="1" applyAlignment="1">
      <alignment horizontal="center" vertical="center" wrapText="1" readingOrder="1"/>
    </xf>
    <xf numFmtId="0" fontId="6" fillId="0" borderId="1" xfId="2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 readingOrder="1"/>
    </xf>
    <xf numFmtId="14" fontId="6" fillId="0" borderId="1" xfId="2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 readingOrder="1"/>
    </xf>
    <xf numFmtId="49" fontId="5" fillId="2" borderId="1" xfId="0" applyNumberFormat="1" applyFont="1" applyFill="1" applyBorder="1" applyAlignment="1">
      <alignment horizontal="center" vertical="center" wrapText="1" readingOrder="1"/>
    </xf>
    <xf numFmtId="49" fontId="5" fillId="3" borderId="1" xfId="0" applyNumberFormat="1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</cellXfs>
  <cellStyles count="3">
    <cellStyle name="Moeda" xfId="1" builtinId="4"/>
    <cellStyle name="Normal" xfId="0" builtinId="0"/>
    <cellStyle name="Normal 3" xfId="2" xr:uid="{5D634967-91D7-4C70-9E66-F1676169CC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C9FF-049B-4F2E-B265-65C48BE5B399}">
  <dimension ref="A1:I81"/>
  <sheetViews>
    <sheetView tabSelected="1" topLeftCell="A69" workbookViewId="0">
      <selection activeCell="H81" sqref="H81"/>
    </sheetView>
  </sheetViews>
  <sheetFormatPr defaultRowHeight="14.25" x14ac:dyDescent="0.2"/>
  <cols>
    <col min="1" max="1" width="15.5" customWidth="1"/>
    <col min="3" max="3" width="11.5" customWidth="1"/>
    <col min="7" max="7" width="14.875" customWidth="1"/>
    <col min="9" max="9" width="70.5" customWidth="1"/>
  </cols>
  <sheetData>
    <row r="1" spans="1:9" ht="33.75" x14ac:dyDescent="0.2">
      <c r="A1" s="1" t="s">
        <v>157</v>
      </c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3" t="s">
        <v>5</v>
      </c>
      <c r="H1" s="4" t="s">
        <v>6</v>
      </c>
      <c r="I1" s="4" t="s">
        <v>7</v>
      </c>
    </row>
    <row r="2" spans="1:9" x14ac:dyDescent="0.2">
      <c r="A2" s="5">
        <v>3144</v>
      </c>
      <c r="B2" s="5" t="s">
        <v>8</v>
      </c>
      <c r="C2" s="6">
        <v>6881.58</v>
      </c>
      <c r="D2" s="7" t="s">
        <v>9</v>
      </c>
      <c r="E2" s="13" t="s">
        <v>149</v>
      </c>
      <c r="F2" s="8">
        <v>45805</v>
      </c>
      <c r="G2" s="6">
        <f t="shared" ref="G2:G13" si="0">C2</f>
        <v>6881.58</v>
      </c>
      <c r="H2" s="7" t="s">
        <v>11</v>
      </c>
      <c r="I2" s="9" t="s">
        <v>12</v>
      </c>
    </row>
    <row r="3" spans="1:9" x14ac:dyDescent="0.2">
      <c r="A3" s="16">
        <v>1</v>
      </c>
      <c r="B3" s="16" t="s">
        <v>164</v>
      </c>
      <c r="C3" s="6">
        <v>6881.58</v>
      </c>
      <c r="D3" s="7" t="s">
        <v>9</v>
      </c>
      <c r="E3" s="13" t="s">
        <v>149</v>
      </c>
      <c r="F3" s="8">
        <v>45805</v>
      </c>
      <c r="G3" s="6">
        <f t="shared" ref="G3" si="1">C3</f>
        <v>6881.58</v>
      </c>
      <c r="H3" s="7" t="s">
        <v>11</v>
      </c>
      <c r="I3" s="9" t="s">
        <v>12</v>
      </c>
    </row>
    <row r="4" spans="1:9" ht="22.5" x14ac:dyDescent="0.2">
      <c r="A4" s="5">
        <v>3916</v>
      </c>
      <c r="B4" s="5" t="s">
        <v>13</v>
      </c>
      <c r="C4" s="6">
        <v>172.6</v>
      </c>
      <c r="D4" s="14" t="s">
        <v>158</v>
      </c>
      <c r="E4" s="7" t="s">
        <v>10</v>
      </c>
      <c r="F4" s="8">
        <v>45841</v>
      </c>
      <c r="G4" s="6">
        <f t="shared" si="0"/>
        <v>172.6</v>
      </c>
      <c r="H4" s="7" t="s">
        <v>15</v>
      </c>
      <c r="I4" s="9" t="s">
        <v>16</v>
      </c>
    </row>
    <row r="5" spans="1:9" ht="22.5" x14ac:dyDescent="0.2">
      <c r="A5" s="5">
        <v>4123</v>
      </c>
      <c r="B5" s="5" t="s">
        <v>17</v>
      </c>
      <c r="C5" s="6">
        <v>880.14</v>
      </c>
      <c r="D5" s="14" t="s">
        <v>159</v>
      </c>
      <c r="E5" s="7" t="s">
        <v>10</v>
      </c>
      <c r="F5" s="8">
        <v>45856</v>
      </c>
      <c r="G5" s="6">
        <f t="shared" si="0"/>
        <v>880.14</v>
      </c>
      <c r="H5" s="7"/>
      <c r="I5" s="9" t="s">
        <v>18</v>
      </c>
    </row>
    <row r="6" spans="1:9" ht="22.5" x14ac:dyDescent="0.2">
      <c r="A6" s="5">
        <v>3944</v>
      </c>
      <c r="B6" s="5" t="s">
        <v>19</v>
      </c>
      <c r="C6" s="6">
        <v>282.04000000000002</v>
      </c>
      <c r="D6" s="14" t="s">
        <v>160</v>
      </c>
      <c r="E6" s="14" t="s">
        <v>161</v>
      </c>
      <c r="F6" s="8">
        <v>45861</v>
      </c>
      <c r="G6" s="6">
        <f t="shared" si="0"/>
        <v>282.04000000000002</v>
      </c>
      <c r="H6" s="7"/>
      <c r="I6" s="9" t="s">
        <v>18</v>
      </c>
    </row>
    <row r="7" spans="1:9" x14ac:dyDescent="0.2">
      <c r="A7" s="5">
        <v>4145</v>
      </c>
      <c r="B7" s="5" t="s">
        <v>20</v>
      </c>
      <c r="C7" s="6">
        <v>1741.79</v>
      </c>
      <c r="D7" s="7" t="s">
        <v>21</v>
      </c>
      <c r="E7" s="7" t="s">
        <v>22</v>
      </c>
      <c r="F7" s="8">
        <v>45857</v>
      </c>
      <c r="G7" s="6">
        <f t="shared" si="0"/>
        <v>1741.79</v>
      </c>
      <c r="H7" s="7" t="s">
        <v>23</v>
      </c>
      <c r="I7" s="9" t="s">
        <v>24</v>
      </c>
    </row>
    <row r="8" spans="1:9" x14ac:dyDescent="0.2">
      <c r="A8" s="5">
        <v>3439</v>
      </c>
      <c r="B8" s="5" t="s">
        <v>25</v>
      </c>
      <c r="C8" s="6">
        <v>4426.6099999999997</v>
      </c>
      <c r="D8" s="7" t="s">
        <v>9</v>
      </c>
      <c r="E8" s="7" t="s">
        <v>10</v>
      </c>
      <c r="F8" s="8">
        <v>45825</v>
      </c>
      <c r="G8" s="6">
        <f t="shared" si="0"/>
        <v>4426.6099999999997</v>
      </c>
      <c r="H8" s="7"/>
      <c r="I8" s="9" t="s">
        <v>26</v>
      </c>
    </row>
    <row r="9" spans="1:9" ht="22.5" x14ac:dyDescent="0.2">
      <c r="A9" s="5">
        <v>1634</v>
      </c>
      <c r="B9" s="5" t="s">
        <v>27</v>
      </c>
      <c r="C9" s="6">
        <v>3329.13</v>
      </c>
      <c r="D9" s="7" t="s">
        <v>28</v>
      </c>
      <c r="E9" s="7" t="s">
        <v>0</v>
      </c>
      <c r="F9" s="8">
        <v>45747</v>
      </c>
      <c r="G9" s="6">
        <f t="shared" si="0"/>
        <v>3329.13</v>
      </c>
      <c r="H9" s="7" t="s">
        <v>29</v>
      </c>
      <c r="I9" s="9" t="s">
        <v>30</v>
      </c>
    </row>
    <row r="10" spans="1:9" ht="22.5" x14ac:dyDescent="0.2">
      <c r="A10" s="5">
        <v>2171</v>
      </c>
      <c r="B10" s="5" t="s">
        <v>31</v>
      </c>
      <c r="C10" s="6">
        <v>65.64</v>
      </c>
      <c r="D10" s="7" t="s">
        <v>32</v>
      </c>
      <c r="E10" s="7" t="s">
        <v>0</v>
      </c>
      <c r="F10" s="8">
        <v>45763</v>
      </c>
      <c r="G10" s="6">
        <f t="shared" si="0"/>
        <v>65.64</v>
      </c>
      <c r="H10" s="7" t="s">
        <v>33</v>
      </c>
      <c r="I10" s="9" t="s">
        <v>16</v>
      </c>
    </row>
    <row r="11" spans="1:9" x14ac:dyDescent="0.2">
      <c r="A11" s="5">
        <v>2806</v>
      </c>
      <c r="B11" s="5" t="s">
        <v>34</v>
      </c>
      <c r="C11" s="6">
        <v>6810.26</v>
      </c>
      <c r="D11" s="7" t="s">
        <v>35</v>
      </c>
      <c r="E11" s="7" t="s">
        <v>0</v>
      </c>
      <c r="F11" s="8">
        <v>45803</v>
      </c>
      <c r="G11" s="6">
        <f t="shared" si="0"/>
        <v>6810.26</v>
      </c>
      <c r="H11" s="7" t="s">
        <v>36</v>
      </c>
      <c r="I11" s="9" t="s">
        <v>37</v>
      </c>
    </row>
    <row r="12" spans="1:9" ht="22.5" x14ac:dyDescent="0.2">
      <c r="A12" s="5">
        <v>3295</v>
      </c>
      <c r="B12" s="5" t="s">
        <v>38</v>
      </c>
      <c r="C12" s="6">
        <v>24617</v>
      </c>
      <c r="D12" s="7" t="s">
        <v>39</v>
      </c>
      <c r="E12" s="7" t="s">
        <v>40</v>
      </c>
      <c r="F12" s="8">
        <v>45865</v>
      </c>
      <c r="G12" s="6">
        <f t="shared" si="0"/>
        <v>24617</v>
      </c>
      <c r="H12" s="7" t="s">
        <v>41</v>
      </c>
      <c r="I12" s="9" t="s">
        <v>42</v>
      </c>
    </row>
    <row r="13" spans="1:9" x14ac:dyDescent="0.2">
      <c r="A13" s="5">
        <v>4844</v>
      </c>
      <c r="B13" s="5" t="s">
        <v>43</v>
      </c>
      <c r="C13" s="6">
        <v>203.48</v>
      </c>
      <c r="D13" s="7" t="s">
        <v>28</v>
      </c>
      <c r="E13" s="7" t="s">
        <v>10</v>
      </c>
      <c r="F13" s="8">
        <v>45896</v>
      </c>
      <c r="G13" s="6">
        <f t="shared" si="0"/>
        <v>203.48</v>
      </c>
      <c r="H13" s="7" t="s">
        <v>44</v>
      </c>
      <c r="I13" s="9" t="s">
        <v>45</v>
      </c>
    </row>
    <row r="14" spans="1:9" ht="22.5" x14ac:dyDescent="0.2">
      <c r="A14" s="5">
        <v>5977</v>
      </c>
      <c r="B14" s="12" t="s">
        <v>155</v>
      </c>
      <c r="C14" s="6">
        <v>6458.11</v>
      </c>
      <c r="D14" s="7" t="s">
        <v>28</v>
      </c>
      <c r="E14" s="7" t="s">
        <v>0</v>
      </c>
      <c r="F14" s="8">
        <v>45930</v>
      </c>
      <c r="G14" s="6">
        <v>6458.11</v>
      </c>
      <c r="H14" s="7"/>
      <c r="I14" s="10" t="s">
        <v>47</v>
      </c>
    </row>
    <row r="15" spans="1:9" ht="22.5" x14ac:dyDescent="0.2">
      <c r="A15" s="5">
        <v>5976</v>
      </c>
      <c r="B15" s="5" t="s">
        <v>46</v>
      </c>
      <c r="C15" s="6">
        <v>5887.01</v>
      </c>
      <c r="D15" s="7" t="s">
        <v>28</v>
      </c>
      <c r="E15" s="13" t="s">
        <v>150</v>
      </c>
      <c r="F15" s="8">
        <v>45930</v>
      </c>
      <c r="G15" s="6">
        <v>5887.01</v>
      </c>
      <c r="H15" s="7"/>
      <c r="I15" s="10" t="s">
        <v>47</v>
      </c>
    </row>
    <row r="16" spans="1:9" x14ac:dyDescent="0.2">
      <c r="A16" s="5">
        <v>5978</v>
      </c>
      <c r="B16" s="5" t="s">
        <v>46</v>
      </c>
      <c r="C16" s="6">
        <v>2188.6799999999998</v>
      </c>
      <c r="D16" s="7" t="s">
        <v>28</v>
      </c>
      <c r="E16" s="7" t="s">
        <v>0</v>
      </c>
      <c r="F16" s="8">
        <v>45930</v>
      </c>
      <c r="G16" s="6">
        <v>2188.6799999999998</v>
      </c>
      <c r="H16" s="13" t="s">
        <v>156</v>
      </c>
      <c r="I16" s="10" t="s">
        <v>47</v>
      </c>
    </row>
    <row r="17" spans="1:9" x14ac:dyDescent="0.2">
      <c r="A17" s="5">
        <v>5972</v>
      </c>
      <c r="B17" s="5" t="s">
        <v>46</v>
      </c>
      <c r="C17" s="6">
        <v>2594.5300000000002</v>
      </c>
      <c r="D17" s="7" t="s">
        <v>28</v>
      </c>
      <c r="E17" s="7" t="s">
        <v>0</v>
      </c>
      <c r="F17" s="8">
        <v>45930</v>
      </c>
      <c r="G17" s="6">
        <v>2594.5300000000002</v>
      </c>
      <c r="H17" s="7"/>
      <c r="I17" s="10" t="s">
        <v>47</v>
      </c>
    </row>
    <row r="18" spans="1:9" x14ac:dyDescent="0.2">
      <c r="A18" s="5">
        <v>5974</v>
      </c>
      <c r="B18" s="5" t="s">
        <v>46</v>
      </c>
      <c r="C18" s="6">
        <v>3563.63</v>
      </c>
      <c r="D18" s="7" t="s">
        <v>28</v>
      </c>
      <c r="E18" s="7" t="s">
        <v>48</v>
      </c>
      <c r="F18" s="8">
        <v>45933</v>
      </c>
      <c r="G18" s="6">
        <v>3563.63</v>
      </c>
      <c r="H18" s="7"/>
      <c r="I18" s="10" t="s">
        <v>47</v>
      </c>
    </row>
    <row r="19" spans="1:9" x14ac:dyDescent="0.2">
      <c r="A19" s="5">
        <v>5105</v>
      </c>
      <c r="B19" s="5" t="s">
        <v>49</v>
      </c>
      <c r="C19" s="6">
        <v>605</v>
      </c>
      <c r="D19" s="7" t="s">
        <v>9</v>
      </c>
      <c r="E19" s="7" t="s">
        <v>40</v>
      </c>
      <c r="F19" s="8">
        <v>45910</v>
      </c>
      <c r="G19" s="6">
        <f t="shared" ref="G19:G80" si="2">C19</f>
        <v>605</v>
      </c>
      <c r="H19" s="7" t="s">
        <v>50</v>
      </c>
      <c r="I19" s="10" t="s">
        <v>51</v>
      </c>
    </row>
    <row r="20" spans="1:9" x14ac:dyDescent="0.2">
      <c r="A20" s="5">
        <v>5754</v>
      </c>
      <c r="B20" s="5" t="s">
        <v>52</v>
      </c>
      <c r="C20" s="6">
        <v>3647.79</v>
      </c>
      <c r="D20" s="7" t="s">
        <v>39</v>
      </c>
      <c r="E20" s="7" t="s">
        <v>10</v>
      </c>
      <c r="F20" s="8">
        <v>45918</v>
      </c>
      <c r="G20" s="6">
        <f t="shared" si="2"/>
        <v>3647.79</v>
      </c>
      <c r="H20" s="7" t="s">
        <v>53</v>
      </c>
      <c r="I20" s="10" t="s">
        <v>51</v>
      </c>
    </row>
    <row r="21" spans="1:9" x14ac:dyDescent="0.2">
      <c r="A21" s="5">
        <v>5241</v>
      </c>
      <c r="B21" s="5" t="s">
        <v>54</v>
      </c>
      <c r="C21" s="6">
        <v>688.21</v>
      </c>
      <c r="D21" s="7" t="s">
        <v>21</v>
      </c>
      <c r="E21" s="7" t="s">
        <v>10</v>
      </c>
      <c r="F21" s="8">
        <v>45902</v>
      </c>
      <c r="G21" s="6">
        <f t="shared" si="2"/>
        <v>688.21</v>
      </c>
      <c r="H21" s="7" t="s">
        <v>55</v>
      </c>
      <c r="I21" s="10" t="s">
        <v>42</v>
      </c>
    </row>
    <row r="22" spans="1:9" x14ac:dyDescent="0.2">
      <c r="A22" s="5">
        <v>5582</v>
      </c>
      <c r="B22" s="5" t="s">
        <v>56</v>
      </c>
      <c r="C22" s="6">
        <v>1323</v>
      </c>
      <c r="D22" s="7" t="s">
        <v>57</v>
      </c>
      <c r="E22" s="7" t="s">
        <v>10</v>
      </c>
      <c r="F22" s="8">
        <v>45910</v>
      </c>
      <c r="G22" s="6">
        <f t="shared" si="2"/>
        <v>1323</v>
      </c>
      <c r="H22" s="7" t="s">
        <v>58</v>
      </c>
      <c r="I22" s="10" t="s">
        <v>42</v>
      </c>
    </row>
    <row r="23" spans="1:9" x14ac:dyDescent="0.2">
      <c r="A23" s="5">
        <v>6684</v>
      </c>
      <c r="B23" s="5" t="s">
        <v>59</v>
      </c>
      <c r="C23" s="6">
        <v>3662.68</v>
      </c>
      <c r="D23" s="7" t="s">
        <v>39</v>
      </c>
      <c r="E23" s="7" t="s">
        <v>40</v>
      </c>
      <c r="F23" s="8">
        <v>45896</v>
      </c>
      <c r="G23" s="6">
        <f t="shared" si="2"/>
        <v>3662.68</v>
      </c>
      <c r="H23" s="7" t="s">
        <v>60</v>
      </c>
      <c r="I23" s="10" t="s">
        <v>42</v>
      </c>
    </row>
    <row r="24" spans="1:9" x14ac:dyDescent="0.2">
      <c r="A24" s="5">
        <v>5897</v>
      </c>
      <c r="B24" s="5" t="s">
        <v>61</v>
      </c>
      <c r="C24" s="6">
        <v>2647.9</v>
      </c>
      <c r="D24" s="7" t="s">
        <v>21</v>
      </c>
      <c r="E24" s="7" t="s">
        <v>10</v>
      </c>
      <c r="F24" s="8">
        <v>45926</v>
      </c>
      <c r="G24" s="6">
        <f t="shared" si="2"/>
        <v>2647.9</v>
      </c>
      <c r="H24" s="7"/>
      <c r="I24" s="10" t="s">
        <v>62</v>
      </c>
    </row>
    <row r="25" spans="1:9" x14ac:dyDescent="0.2">
      <c r="A25" s="5">
        <v>328</v>
      </c>
      <c r="B25" s="5" t="s">
        <v>63</v>
      </c>
      <c r="C25" s="6">
        <v>8325.6</v>
      </c>
      <c r="D25" s="7" t="s">
        <v>39</v>
      </c>
      <c r="E25" s="7" t="s">
        <v>40</v>
      </c>
      <c r="F25" s="8">
        <v>45910</v>
      </c>
      <c r="G25" s="6">
        <f t="shared" si="2"/>
        <v>8325.6</v>
      </c>
      <c r="H25" s="7" t="s">
        <v>64</v>
      </c>
      <c r="I25" s="10" t="s">
        <v>42</v>
      </c>
    </row>
    <row r="26" spans="1:9" x14ac:dyDescent="0.2">
      <c r="A26" s="5">
        <v>5104</v>
      </c>
      <c r="B26" s="5" t="s">
        <v>65</v>
      </c>
      <c r="C26" s="6">
        <v>1670.2</v>
      </c>
      <c r="D26" s="7" t="s">
        <v>9</v>
      </c>
      <c r="E26" s="7" t="s">
        <v>40</v>
      </c>
      <c r="F26" s="8">
        <v>45917</v>
      </c>
      <c r="G26" s="6">
        <f t="shared" si="2"/>
        <v>1670.2</v>
      </c>
      <c r="H26" s="7" t="s">
        <v>66</v>
      </c>
      <c r="I26" s="10" t="s">
        <v>42</v>
      </c>
    </row>
    <row r="27" spans="1:9" x14ac:dyDescent="0.2">
      <c r="A27" s="5">
        <v>5595</v>
      </c>
      <c r="B27" s="5" t="s">
        <v>67</v>
      </c>
      <c r="C27" s="6">
        <v>3294.68</v>
      </c>
      <c r="D27" s="13" t="s">
        <v>154</v>
      </c>
      <c r="E27" s="7" t="s">
        <v>10</v>
      </c>
      <c r="F27" s="8">
        <v>45910</v>
      </c>
      <c r="G27" s="6">
        <f t="shared" si="2"/>
        <v>3294.68</v>
      </c>
      <c r="H27" s="7" t="s">
        <v>68</v>
      </c>
      <c r="I27" s="10" t="s">
        <v>42</v>
      </c>
    </row>
    <row r="28" spans="1:9" ht="22.5" x14ac:dyDescent="0.2">
      <c r="A28" s="5">
        <v>6057</v>
      </c>
      <c r="B28" s="5" t="s">
        <v>67</v>
      </c>
      <c r="C28" s="6">
        <v>260.64</v>
      </c>
      <c r="D28" s="7" t="s">
        <v>69</v>
      </c>
      <c r="E28" s="7" t="s">
        <v>22</v>
      </c>
      <c r="F28" s="8">
        <v>45931</v>
      </c>
      <c r="G28" s="6">
        <f t="shared" si="2"/>
        <v>260.64</v>
      </c>
      <c r="H28" s="7" t="s">
        <v>70</v>
      </c>
      <c r="I28" s="9" t="s">
        <v>24</v>
      </c>
    </row>
    <row r="29" spans="1:9" x14ac:dyDescent="0.2">
      <c r="A29" s="5">
        <v>5676</v>
      </c>
      <c r="B29" s="5" t="s">
        <v>71</v>
      </c>
      <c r="C29" s="6">
        <v>3450</v>
      </c>
      <c r="D29" s="7" t="s">
        <v>9</v>
      </c>
      <c r="E29" s="7" t="s">
        <v>10</v>
      </c>
      <c r="F29" s="8">
        <v>45931</v>
      </c>
      <c r="G29" s="6">
        <f t="shared" si="2"/>
        <v>3450</v>
      </c>
      <c r="H29" s="7"/>
      <c r="I29" s="10" t="s">
        <v>62</v>
      </c>
    </row>
    <row r="30" spans="1:9" ht="33.75" x14ac:dyDescent="0.2">
      <c r="A30" s="5">
        <v>5558</v>
      </c>
      <c r="B30" s="5" t="s">
        <v>72</v>
      </c>
      <c r="C30" s="6">
        <v>307.10000000000002</v>
      </c>
      <c r="D30" s="7" t="s">
        <v>73</v>
      </c>
      <c r="E30" s="7" t="s">
        <v>22</v>
      </c>
      <c r="F30" s="8">
        <v>45909</v>
      </c>
      <c r="G30" s="6">
        <f t="shared" si="2"/>
        <v>307.10000000000002</v>
      </c>
      <c r="H30" s="7" t="s">
        <v>70</v>
      </c>
      <c r="I30" s="9" t="s">
        <v>24</v>
      </c>
    </row>
    <row r="31" spans="1:9" x14ac:dyDescent="0.2">
      <c r="A31" s="5">
        <v>5224</v>
      </c>
      <c r="B31" s="5" t="s">
        <v>8</v>
      </c>
      <c r="C31" s="6">
        <v>5743.09</v>
      </c>
      <c r="D31" s="7" t="s">
        <v>9</v>
      </c>
      <c r="E31" s="7" t="s">
        <v>10</v>
      </c>
      <c r="F31" s="8">
        <v>45895</v>
      </c>
      <c r="G31" s="6">
        <f t="shared" si="2"/>
        <v>5743.09</v>
      </c>
      <c r="H31" s="7" t="s">
        <v>74</v>
      </c>
      <c r="I31" s="11" t="s">
        <v>75</v>
      </c>
    </row>
    <row r="32" spans="1:9" x14ac:dyDescent="0.2">
      <c r="A32" s="5">
        <v>6103</v>
      </c>
      <c r="B32" s="5" t="s">
        <v>8</v>
      </c>
      <c r="C32" s="6">
        <v>14618.17</v>
      </c>
      <c r="D32" s="7" t="s">
        <v>9</v>
      </c>
      <c r="E32" s="7" t="s">
        <v>10</v>
      </c>
      <c r="F32" s="8">
        <v>45932</v>
      </c>
      <c r="G32" s="6">
        <f t="shared" si="2"/>
        <v>14618.17</v>
      </c>
      <c r="H32" s="7" t="s">
        <v>76</v>
      </c>
      <c r="I32" s="11" t="s">
        <v>77</v>
      </c>
    </row>
    <row r="33" spans="1:9" x14ac:dyDescent="0.2">
      <c r="A33" s="5">
        <v>5653</v>
      </c>
      <c r="B33" s="5" t="s">
        <v>78</v>
      </c>
      <c r="C33" s="6">
        <v>2086.1999999999998</v>
      </c>
      <c r="D33" s="7" t="s">
        <v>79</v>
      </c>
      <c r="E33" s="7" t="s">
        <v>10</v>
      </c>
      <c r="F33" s="8">
        <v>45918</v>
      </c>
      <c r="G33" s="6">
        <f t="shared" si="2"/>
        <v>2086.1999999999998</v>
      </c>
      <c r="H33" s="7" t="s">
        <v>80</v>
      </c>
      <c r="I33" s="10" t="s">
        <v>16</v>
      </c>
    </row>
    <row r="34" spans="1:9" x14ac:dyDescent="0.2">
      <c r="A34" s="5">
        <v>4693</v>
      </c>
      <c r="B34" s="5" t="s">
        <v>81</v>
      </c>
      <c r="C34" s="6">
        <v>2640.88</v>
      </c>
      <c r="D34" s="7" t="s">
        <v>39</v>
      </c>
      <c r="E34" s="7" t="s">
        <v>48</v>
      </c>
      <c r="F34" s="8">
        <v>45910</v>
      </c>
      <c r="G34" s="6">
        <f t="shared" si="2"/>
        <v>2640.88</v>
      </c>
      <c r="H34" s="7" t="s">
        <v>82</v>
      </c>
      <c r="I34" s="10" t="s">
        <v>16</v>
      </c>
    </row>
    <row r="35" spans="1:9" ht="22.5" x14ac:dyDescent="0.2">
      <c r="A35" s="5">
        <v>5249</v>
      </c>
      <c r="B35" s="5" t="s">
        <v>81</v>
      </c>
      <c r="C35" s="6">
        <v>49127.39</v>
      </c>
      <c r="D35" s="7" t="s">
        <v>28</v>
      </c>
      <c r="E35" s="7" t="s">
        <v>48</v>
      </c>
      <c r="F35" s="8">
        <v>45924</v>
      </c>
      <c r="G35" s="6">
        <f t="shared" si="2"/>
        <v>49127.39</v>
      </c>
      <c r="H35" s="7" t="s">
        <v>83</v>
      </c>
      <c r="I35" s="10" t="s">
        <v>47</v>
      </c>
    </row>
    <row r="36" spans="1:9" ht="22.5" x14ac:dyDescent="0.2">
      <c r="A36" s="5">
        <v>6106</v>
      </c>
      <c r="B36" s="15" t="s">
        <v>162</v>
      </c>
      <c r="C36" s="6">
        <v>3077.25</v>
      </c>
      <c r="D36" s="7" t="s">
        <v>84</v>
      </c>
      <c r="E36" s="7" t="s">
        <v>48</v>
      </c>
      <c r="F36" s="8">
        <v>45933</v>
      </c>
      <c r="G36" s="6">
        <f t="shared" si="2"/>
        <v>3077.25</v>
      </c>
      <c r="H36" s="7" t="s">
        <v>83</v>
      </c>
      <c r="I36" s="10" t="s">
        <v>47</v>
      </c>
    </row>
    <row r="37" spans="1:9" ht="22.5" x14ac:dyDescent="0.2">
      <c r="A37" s="5">
        <v>4096</v>
      </c>
      <c r="B37" s="5" t="s">
        <v>85</v>
      </c>
      <c r="C37" s="6">
        <v>494</v>
      </c>
      <c r="D37" s="7" t="s">
        <v>9</v>
      </c>
      <c r="E37" s="7" t="s">
        <v>86</v>
      </c>
      <c r="F37" s="8">
        <v>45870</v>
      </c>
      <c r="G37" s="6">
        <f t="shared" si="2"/>
        <v>494</v>
      </c>
      <c r="H37" s="7" t="s">
        <v>83</v>
      </c>
      <c r="I37" s="10" t="s">
        <v>87</v>
      </c>
    </row>
    <row r="38" spans="1:9" x14ac:dyDescent="0.2">
      <c r="A38" s="5">
        <v>4694</v>
      </c>
      <c r="B38" s="5" t="s">
        <v>85</v>
      </c>
      <c r="C38" s="6">
        <v>208.79</v>
      </c>
      <c r="D38" s="7" t="s">
        <v>14</v>
      </c>
      <c r="E38" s="7" t="s">
        <v>10</v>
      </c>
      <c r="F38" s="8">
        <v>45876</v>
      </c>
      <c r="G38" s="6">
        <f t="shared" si="2"/>
        <v>208.79</v>
      </c>
      <c r="H38" s="7" t="s">
        <v>88</v>
      </c>
      <c r="I38" s="10" t="s">
        <v>16</v>
      </c>
    </row>
    <row r="39" spans="1:9" x14ac:dyDescent="0.2">
      <c r="A39" s="5">
        <v>4910</v>
      </c>
      <c r="B39" s="5" t="s">
        <v>85</v>
      </c>
      <c r="C39" s="6">
        <v>664.48</v>
      </c>
      <c r="D39" s="7" t="s">
        <v>9</v>
      </c>
      <c r="E39" s="7" t="s">
        <v>86</v>
      </c>
      <c r="F39" s="8">
        <v>45889</v>
      </c>
      <c r="G39" s="6">
        <f t="shared" si="2"/>
        <v>664.48</v>
      </c>
      <c r="H39" s="7" t="s">
        <v>88</v>
      </c>
      <c r="I39" s="10" t="s">
        <v>16</v>
      </c>
    </row>
    <row r="40" spans="1:9" x14ac:dyDescent="0.2">
      <c r="A40" s="5">
        <v>4653</v>
      </c>
      <c r="B40" s="5" t="s">
        <v>85</v>
      </c>
      <c r="C40" s="6">
        <v>1753.66</v>
      </c>
      <c r="D40" s="7" t="s">
        <v>79</v>
      </c>
      <c r="E40" s="7" t="s">
        <v>10</v>
      </c>
      <c r="F40" s="8">
        <v>45894</v>
      </c>
      <c r="G40" s="6">
        <f t="shared" si="2"/>
        <v>1753.66</v>
      </c>
      <c r="H40" s="7" t="s">
        <v>88</v>
      </c>
      <c r="I40" s="10" t="s">
        <v>16</v>
      </c>
    </row>
    <row r="41" spans="1:9" x14ac:dyDescent="0.2">
      <c r="A41" s="5">
        <v>5310</v>
      </c>
      <c r="B41" s="5" t="s">
        <v>85</v>
      </c>
      <c r="C41" s="6">
        <v>1434.31</v>
      </c>
      <c r="D41" s="7" t="s">
        <v>9</v>
      </c>
      <c r="E41" s="7" t="s">
        <v>89</v>
      </c>
      <c r="F41" s="8">
        <v>45902</v>
      </c>
      <c r="G41" s="6">
        <f t="shared" si="2"/>
        <v>1434.31</v>
      </c>
      <c r="H41" s="7" t="s">
        <v>90</v>
      </c>
      <c r="I41" s="10" t="s">
        <v>16</v>
      </c>
    </row>
    <row r="42" spans="1:9" x14ac:dyDescent="0.2">
      <c r="A42" s="5">
        <v>5592</v>
      </c>
      <c r="B42" s="5" t="s">
        <v>85</v>
      </c>
      <c r="C42" s="6">
        <v>111.91</v>
      </c>
      <c r="D42" s="7" t="s">
        <v>91</v>
      </c>
      <c r="E42" s="7" t="s">
        <v>10</v>
      </c>
      <c r="F42" s="8">
        <v>45922</v>
      </c>
      <c r="G42" s="6">
        <f t="shared" si="2"/>
        <v>111.91</v>
      </c>
      <c r="H42" s="7"/>
      <c r="I42" s="10" t="s">
        <v>62</v>
      </c>
    </row>
    <row r="43" spans="1:9" x14ac:dyDescent="0.2">
      <c r="A43" s="5">
        <v>5245</v>
      </c>
      <c r="B43" s="5" t="s">
        <v>92</v>
      </c>
      <c r="C43" s="6">
        <v>3252</v>
      </c>
      <c r="D43" s="7" t="s">
        <v>39</v>
      </c>
      <c r="E43" s="7" t="s">
        <v>10</v>
      </c>
      <c r="F43" s="8">
        <v>45905</v>
      </c>
      <c r="G43" s="6">
        <f t="shared" si="2"/>
        <v>3252</v>
      </c>
      <c r="H43" s="7" t="s">
        <v>93</v>
      </c>
      <c r="I43" s="10" t="s">
        <v>94</v>
      </c>
    </row>
    <row r="44" spans="1:9" x14ac:dyDescent="0.2">
      <c r="A44" s="5">
        <v>4144</v>
      </c>
      <c r="B44" s="5" t="s">
        <v>95</v>
      </c>
      <c r="C44" s="6">
        <v>19196.05</v>
      </c>
      <c r="D44" s="7" t="s">
        <v>84</v>
      </c>
      <c r="E44" s="7" t="s">
        <v>40</v>
      </c>
      <c r="F44" s="8">
        <v>45922</v>
      </c>
      <c r="G44" s="6">
        <f t="shared" si="2"/>
        <v>19196.05</v>
      </c>
      <c r="H44" s="7" t="s">
        <v>96</v>
      </c>
      <c r="I44" s="10" t="s">
        <v>94</v>
      </c>
    </row>
    <row r="45" spans="1:9" x14ac:dyDescent="0.2">
      <c r="A45" s="5">
        <v>4288</v>
      </c>
      <c r="B45" s="5" t="s">
        <v>95</v>
      </c>
      <c r="C45" s="6">
        <v>1593.16</v>
      </c>
      <c r="D45" s="7" t="s">
        <v>9</v>
      </c>
      <c r="E45" s="7" t="s">
        <v>40</v>
      </c>
      <c r="F45" s="8">
        <v>45922</v>
      </c>
      <c r="G45" s="6">
        <f t="shared" si="2"/>
        <v>1593.16</v>
      </c>
      <c r="H45" s="7" t="s">
        <v>96</v>
      </c>
      <c r="I45" s="10" t="s">
        <v>94</v>
      </c>
    </row>
    <row r="46" spans="1:9" x14ac:dyDescent="0.2">
      <c r="A46" s="5">
        <v>5571</v>
      </c>
      <c r="B46" s="5" t="s">
        <v>97</v>
      </c>
      <c r="C46" s="6">
        <v>1285.8399999999999</v>
      </c>
      <c r="D46" s="7" t="s">
        <v>9</v>
      </c>
      <c r="E46" s="7" t="s">
        <v>22</v>
      </c>
      <c r="F46" s="8">
        <v>45910</v>
      </c>
      <c r="G46" s="6">
        <f t="shared" si="2"/>
        <v>1285.8399999999999</v>
      </c>
      <c r="H46" s="7" t="s">
        <v>22</v>
      </c>
      <c r="I46" s="9" t="s">
        <v>24</v>
      </c>
    </row>
    <row r="47" spans="1:9" x14ac:dyDescent="0.2">
      <c r="A47" s="5">
        <v>5899</v>
      </c>
      <c r="B47" s="5" t="s">
        <v>98</v>
      </c>
      <c r="C47" s="6">
        <v>650</v>
      </c>
      <c r="D47" s="7" t="s">
        <v>21</v>
      </c>
      <c r="E47" s="7" t="s">
        <v>40</v>
      </c>
      <c r="F47" s="8">
        <v>45932</v>
      </c>
      <c r="G47" s="6">
        <f t="shared" si="2"/>
        <v>650</v>
      </c>
      <c r="H47" s="7" t="s">
        <v>99</v>
      </c>
      <c r="I47" s="10" t="s">
        <v>94</v>
      </c>
    </row>
    <row r="48" spans="1:9" x14ac:dyDescent="0.2">
      <c r="A48" s="5">
        <v>5481</v>
      </c>
      <c r="B48" s="5" t="s">
        <v>100</v>
      </c>
      <c r="C48" s="6">
        <v>4527.8599999999997</v>
      </c>
      <c r="D48" s="7" t="s">
        <v>9</v>
      </c>
      <c r="E48" s="7" t="s">
        <v>10</v>
      </c>
      <c r="F48" s="8">
        <v>45910</v>
      </c>
      <c r="G48" s="6">
        <f t="shared" si="2"/>
        <v>4527.8599999999997</v>
      </c>
      <c r="H48" s="7" t="s">
        <v>101</v>
      </c>
      <c r="I48" s="10" t="s">
        <v>51</v>
      </c>
    </row>
    <row r="49" spans="1:9" x14ac:dyDescent="0.2">
      <c r="A49" s="5">
        <v>5496</v>
      </c>
      <c r="B49" s="5" t="s">
        <v>102</v>
      </c>
      <c r="C49" s="6">
        <v>2712.77</v>
      </c>
      <c r="D49" s="7" t="s">
        <v>9</v>
      </c>
      <c r="E49" s="7" t="s">
        <v>40</v>
      </c>
      <c r="F49" s="8">
        <v>45908</v>
      </c>
      <c r="G49" s="6">
        <f t="shared" si="2"/>
        <v>2712.77</v>
      </c>
      <c r="H49" s="7" t="s">
        <v>103</v>
      </c>
      <c r="I49" s="10" t="s">
        <v>94</v>
      </c>
    </row>
    <row r="50" spans="1:9" x14ac:dyDescent="0.2">
      <c r="A50" s="5">
        <v>5404</v>
      </c>
      <c r="B50" s="5" t="s">
        <v>104</v>
      </c>
      <c r="C50" s="6">
        <v>881.04</v>
      </c>
      <c r="D50" s="7" t="s">
        <v>9</v>
      </c>
      <c r="E50" s="7" t="s">
        <v>10</v>
      </c>
      <c r="F50" s="8">
        <v>45902</v>
      </c>
      <c r="G50" s="6">
        <f t="shared" si="2"/>
        <v>881.04</v>
      </c>
      <c r="H50" s="7" t="s">
        <v>105</v>
      </c>
      <c r="I50" s="10" t="s">
        <v>16</v>
      </c>
    </row>
    <row r="51" spans="1:9" ht="22.5" x14ac:dyDescent="0.2">
      <c r="A51" s="5">
        <v>6018</v>
      </c>
      <c r="B51" s="5" t="s">
        <v>106</v>
      </c>
      <c r="C51" s="6">
        <v>354.46</v>
      </c>
      <c r="D51" s="7" t="s">
        <v>9</v>
      </c>
      <c r="E51" s="14" t="s">
        <v>163</v>
      </c>
      <c r="F51" s="8">
        <v>45930</v>
      </c>
      <c r="G51" s="6">
        <f t="shared" si="2"/>
        <v>354.46</v>
      </c>
      <c r="H51" s="7" t="s">
        <v>107</v>
      </c>
      <c r="I51" s="11" t="s">
        <v>108</v>
      </c>
    </row>
    <row r="52" spans="1:9" ht="22.5" x14ac:dyDescent="0.2">
      <c r="A52" s="5">
        <v>4916</v>
      </c>
      <c r="B52" s="5" t="s">
        <v>27</v>
      </c>
      <c r="C52" s="6">
        <v>11100.36</v>
      </c>
      <c r="D52" s="7" t="s">
        <v>39</v>
      </c>
      <c r="E52" s="7" t="s">
        <v>86</v>
      </c>
      <c r="F52" s="8">
        <v>45890</v>
      </c>
      <c r="G52" s="6">
        <f t="shared" si="2"/>
        <v>11100.36</v>
      </c>
      <c r="H52" s="7" t="s">
        <v>109</v>
      </c>
      <c r="I52" s="10" t="s">
        <v>16</v>
      </c>
    </row>
    <row r="53" spans="1:9" ht="22.5" x14ac:dyDescent="0.2">
      <c r="A53" s="5">
        <v>2171</v>
      </c>
      <c r="B53" s="5" t="s">
        <v>31</v>
      </c>
      <c r="C53" s="6">
        <v>165.64</v>
      </c>
      <c r="D53" s="7" t="s">
        <v>32</v>
      </c>
      <c r="E53" s="7" t="s">
        <v>0</v>
      </c>
      <c r="F53" s="8">
        <v>45763</v>
      </c>
      <c r="G53" s="6">
        <f t="shared" si="2"/>
        <v>165.64</v>
      </c>
      <c r="H53" s="7" t="s">
        <v>110</v>
      </c>
      <c r="I53" s="10" t="s">
        <v>16</v>
      </c>
    </row>
    <row r="54" spans="1:9" ht="22.5" x14ac:dyDescent="0.2">
      <c r="A54" s="5">
        <v>5080</v>
      </c>
      <c r="B54" s="5" t="s">
        <v>31</v>
      </c>
      <c r="C54" s="6">
        <v>3219.82</v>
      </c>
      <c r="D54" s="7" t="s">
        <v>32</v>
      </c>
      <c r="E54" s="7" t="s">
        <v>48</v>
      </c>
      <c r="F54" s="8">
        <v>45889</v>
      </c>
      <c r="G54" s="6">
        <f t="shared" si="2"/>
        <v>3219.82</v>
      </c>
      <c r="H54" s="7" t="s">
        <v>111</v>
      </c>
      <c r="I54" s="10" t="s">
        <v>16</v>
      </c>
    </row>
    <row r="55" spans="1:9" ht="22.5" x14ac:dyDescent="0.2">
      <c r="A55" s="5">
        <v>5306</v>
      </c>
      <c r="B55" s="5" t="s">
        <v>31</v>
      </c>
      <c r="C55" s="6">
        <v>1639.1</v>
      </c>
      <c r="D55" s="7" t="s">
        <v>32</v>
      </c>
      <c r="E55" s="7" t="s">
        <v>86</v>
      </c>
      <c r="F55" s="8">
        <v>45898</v>
      </c>
      <c r="G55" s="6">
        <f t="shared" si="2"/>
        <v>1639.1</v>
      </c>
      <c r="H55" s="7" t="s">
        <v>112</v>
      </c>
      <c r="I55" s="10" t="s">
        <v>16</v>
      </c>
    </row>
    <row r="56" spans="1:9" ht="22.5" x14ac:dyDescent="0.2">
      <c r="A56" s="5">
        <v>5311</v>
      </c>
      <c r="B56" s="5" t="s">
        <v>31</v>
      </c>
      <c r="C56" s="6">
        <v>531.70000000000005</v>
      </c>
      <c r="D56" s="7" t="s">
        <v>32</v>
      </c>
      <c r="E56" s="7" t="s">
        <v>48</v>
      </c>
      <c r="F56" s="8">
        <v>45902</v>
      </c>
      <c r="G56" s="6">
        <f t="shared" si="2"/>
        <v>531.70000000000005</v>
      </c>
      <c r="H56" s="7" t="s">
        <v>113</v>
      </c>
      <c r="I56" s="10" t="s">
        <v>16</v>
      </c>
    </row>
    <row r="57" spans="1:9" ht="22.5" x14ac:dyDescent="0.2">
      <c r="A57" s="5">
        <v>5586</v>
      </c>
      <c r="B57" s="5" t="s">
        <v>31</v>
      </c>
      <c r="C57" s="6">
        <v>4886.9799999999996</v>
      </c>
      <c r="D57" s="7" t="s">
        <v>32</v>
      </c>
      <c r="E57" s="7" t="s">
        <v>48</v>
      </c>
      <c r="F57" s="8">
        <v>45910</v>
      </c>
      <c r="G57" s="6">
        <f t="shared" si="2"/>
        <v>4886.9799999999996</v>
      </c>
      <c r="H57" s="7" t="s">
        <v>114</v>
      </c>
      <c r="I57" s="10" t="s">
        <v>16</v>
      </c>
    </row>
    <row r="58" spans="1:9" ht="22.5" x14ac:dyDescent="0.2">
      <c r="A58" s="5">
        <v>5238</v>
      </c>
      <c r="B58" s="5" t="s">
        <v>31</v>
      </c>
      <c r="C58" s="6">
        <v>12884.04</v>
      </c>
      <c r="D58" s="7" t="s">
        <v>32</v>
      </c>
      <c r="E58" s="7" t="s">
        <v>40</v>
      </c>
      <c r="F58" s="8">
        <v>45917</v>
      </c>
      <c r="G58" s="6">
        <f t="shared" si="2"/>
        <v>12884.04</v>
      </c>
      <c r="H58" s="7" t="s">
        <v>113</v>
      </c>
      <c r="I58" s="10" t="s">
        <v>94</v>
      </c>
    </row>
    <row r="59" spans="1:9" ht="22.5" x14ac:dyDescent="0.2">
      <c r="A59" s="5">
        <v>4282</v>
      </c>
      <c r="B59" s="5" t="s">
        <v>31</v>
      </c>
      <c r="C59" s="6">
        <v>1031.7</v>
      </c>
      <c r="D59" s="7" t="s">
        <v>32</v>
      </c>
      <c r="E59" s="7" t="s">
        <v>40</v>
      </c>
      <c r="F59" s="8">
        <v>45917</v>
      </c>
      <c r="G59" s="6">
        <f t="shared" si="2"/>
        <v>1031.7</v>
      </c>
      <c r="H59" s="7" t="s">
        <v>115</v>
      </c>
      <c r="I59" s="10" t="s">
        <v>16</v>
      </c>
    </row>
    <row r="60" spans="1:9" ht="22.5" x14ac:dyDescent="0.2">
      <c r="A60" s="5">
        <v>5789</v>
      </c>
      <c r="B60" s="5" t="s">
        <v>31</v>
      </c>
      <c r="C60" s="6">
        <v>1478.6</v>
      </c>
      <c r="D60" s="7" t="s">
        <v>32</v>
      </c>
      <c r="E60" s="7" t="s">
        <v>48</v>
      </c>
      <c r="F60" s="8">
        <v>45918</v>
      </c>
      <c r="G60" s="6">
        <f t="shared" si="2"/>
        <v>1478.6</v>
      </c>
      <c r="H60" s="7" t="s">
        <v>116</v>
      </c>
      <c r="I60" s="10" t="s">
        <v>94</v>
      </c>
    </row>
    <row r="61" spans="1:9" ht="22.5" x14ac:dyDescent="0.2">
      <c r="A61" s="5">
        <v>5855</v>
      </c>
      <c r="B61" s="5" t="s">
        <v>31</v>
      </c>
      <c r="C61" s="6">
        <v>489</v>
      </c>
      <c r="D61" s="7" t="s">
        <v>32</v>
      </c>
      <c r="E61" s="7" t="s">
        <v>48</v>
      </c>
      <c r="F61" s="8">
        <v>45922</v>
      </c>
      <c r="G61" s="6">
        <f t="shared" si="2"/>
        <v>489</v>
      </c>
      <c r="H61" s="7"/>
      <c r="I61" s="10" t="s">
        <v>62</v>
      </c>
    </row>
    <row r="62" spans="1:9" ht="22.5" x14ac:dyDescent="0.2">
      <c r="A62" s="5">
        <v>5878</v>
      </c>
      <c r="B62" s="5" t="s">
        <v>31</v>
      </c>
      <c r="C62" s="6">
        <v>489</v>
      </c>
      <c r="D62" s="7" t="s">
        <v>32</v>
      </c>
      <c r="E62" s="7" t="s">
        <v>48</v>
      </c>
      <c r="F62" s="8">
        <v>45923</v>
      </c>
      <c r="G62" s="6">
        <f t="shared" si="2"/>
        <v>489</v>
      </c>
      <c r="H62" s="7" t="s">
        <v>117</v>
      </c>
      <c r="I62" s="10" t="s">
        <v>94</v>
      </c>
    </row>
    <row r="63" spans="1:9" ht="22.5" x14ac:dyDescent="0.2">
      <c r="A63" s="5">
        <v>5913</v>
      </c>
      <c r="B63" s="5" t="s">
        <v>31</v>
      </c>
      <c r="C63" s="6">
        <v>304.52</v>
      </c>
      <c r="D63" s="7" t="s">
        <v>32</v>
      </c>
      <c r="E63" s="7" t="s">
        <v>0</v>
      </c>
      <c r="F63" s="8">
        <v>45929</v>
      </c>
      <c r="G63" s="6">
        <f t="shared" si="2"/>
        <v>304.52</v>
      </c>
      <c r="H63" s="7" t="s">
        <v>118</v>
      </c>
      <c r="I63" s="10" t="s">
        <v>94</v>
      </c>
    </row>
    <row r="64" spans="1:9" x14ac:dyDescent="0.2">
      <c r="A64" s="5">
        <v>5312</v>
      </c>
      <c r="B64" s="5" t="s">
        <v>119</v>
      </c>
      <c r="C64" s="6">
        <v>1300</v>
      </c>
      <c r="D64" s="7" t="s">
        <v>9</v>
      </c>
      <c r="E64" s="7" t="s">
        <v>40</v>
      </c>
      <c r="F64" s="8">
        <v>45919</v>
      </c>
      <c r="G64" s="6">
        <f t="shared" si="2"/>
        <v>1300</v>
      </c>
      <c r="H64" s="7" t="s">
        <v>120</v>
      </c>
      <c r="I64" s="10" t="s">
        <v>16</v>
      </c>
    </row>
    <row r="65" spans="1:9" ht="22.5" x14ac:dyDescent="0.2">
      <c r="A65" s="5">
        <v>5352</v>
      </c>
      <c r="B65" s="5" t="s">
        <v>121</v>
      </c>
      <c r="C65" s="6">
        <v>2000</v>
      </c>
      <c r="D65" s="7" t="s">
        <v>39</v>
      </c>
      <c r="E65" s="7" t="s">
        <v>48</v>
      </c>
      <c r="F65" s="8">
        <v>45911</v>
      </c>
      <c r="G65" s="6">
        <f t="shared" si="2"/>
        <v>2000</v>
      </c>
      <c r="H65" s="7" t="s">
        <v>122</v>
      </c>
      <c r="I65" s="10" t="s">
        <v>94</v>
      </c>
    </row>
    <row r="66" spans="1:9" x14ac:dyDescent="0.2">
      <c r="A66" s="5">
        <v>4889</v>
      </c>
      <c r="B66" s="5" t="s">
        <v>123</v>
      </c>
      <c r="C66" s="6">
        <v>1185</v>
      </c>
      <c r="D66" s="7" t="s">
        <v>39</v>
      </c>
      <c r="E66" s="7" t="s">
        <v>40</v>
      </c>
      <c r="F66" s="8">
        <v>45890</v>
      </c>
      <c r="G66" s="6">
        <f t="shared" si="2"/>
        <v>1185</v>
      </c>
      <c r="H66" s="7" t="s">
        <v>124</v>
      </c>
      <c r="I66" s="10" t="s">
        <v>16</v>
      </c>
    </row>
    <row r="67" spans="1:9" x14ac:dyDescent="0.2">
      <c r="A67" s="5">
        <v>5163</v>
      </c>
      <c r="B67" s="5" t="s">
        <v>123</v>
      </c>
      <c r="C67" s="6">
        <v>250</v>
      </c>
      <c r="D67" s="7" t="s">
        <v>9</v>
      </c>
      <c r="E67" s="7" t="s">
        <v>40</v>
      </c>
      <c r="F67" s="8">
        <v>45903</v>
      </c>
      <c r="G67" s="6">
        <f t="shared" si="2"/>
        <v>250</v>
      </c>
      <c r="H67" s="7" t="s">
        <v>125</v>
      </c>
      <c r="I67" s="10" t="s">
        <v>94</v>
      </c>
    </row>
    <row r="68" spans="1:9" x14ac:dyDescent="0.2">
      <c r="A68" s="5">
        <v>4692</v>
      </c>
      <c r="B68" s="5" t="s">
        <v>126</v>
      </c>
      <c r="C68" s="6">
        <v>3120</v>
      </c>
      <c r="D68" s="7" t="s">
        <v>32</v>
      </c>
      <c r="E68" s="7" t="s">
        <v>48</v>
      </c>
      <c r="F68" s="8">
        <v>45890</v>
      </c>
      <c r="G68" s="6">
        <f t="shared" si="2"/>
        <v>3120</v>
      </c>
      <c r="H68" s="7" t="s">
        <v>127</v>
      </c>
      <c r="I68" s="10" t="s">
        <v>16</v>
      </c>
    </row>
    <row r="69" spans="1:9" x14ac:dyDescent="0.2">
      <c r="A69" s="5">
        <v>2652</v>
      </c>
      <c r="B69" s="5" t="s">
        <v>128</v>
      </c>
      <c r="C69" s="6">
        <v>1817</v>
      </c>
      <c r="D69" s="5">
        <v>30</v>
      </c>
      <c r="E69" s="5" t="s">
        <v>40</v>
      </c>
      <c r="F69" s="8">
        <v>45792</v>
      </c>
      <c r="G69" s="6">
        <f t="shared" si="2"/>
        <v>1817</v>
      </c>
      <c r="H69" s="5" t="s">
        <v>129</v>
      </c>
      <c r="I69" s="10" t="s">
        <v>16</v>
      </c>
    </row>
    <row r="70" spans="1:9" x14ac:dyDescent="0.2">
      <c r="A70" s="5">
        <v>5801</v>
      </c>
      <c r="B70" s="5" t="s">
        <v>130</v>
      </c>
      <c r="C70" s="6">
        <v>736.93</v>
      </c>
      <c r="D70" s="7" t="s">
        <v>21</v>
      </c>
      <c r="E70" s="7" t="s">
        <v>10</v>
      </c>
      <c r="F70" s="8">
        <v>45923</v>
      </c>
      <c r="G70" s="6">
        <f t="shared" si="2"/>
        <v>736.93</v>
      </c>
      <c r="H70" s="7" t="s">
        <v>131</v>
      </c>
      <c r="I70" s="10" t="s">
        <v>94</v>
      </c>
    </row>
    <row r="71" spans="1:9" x14ac:dyDescent="0.2">
      <c r="A71" s="5">
        <v>5761</v>
      </c>
      <c r="B71" s="5" t="s">
        <v>132</v>
      </c>
      <c r="C71" s="6">
        <v>134.87</v>
      </c>
      <c r="D71" s="7" t="s">
        <v>21</v>
      </c>
      <c r="E71" s="7" t="s">
        <v>40</v>
      </c>
      <c r="F71" s="8">
        <v>45922</v>
      </c>
      <c r="G71" s="6">
        <f t="shared" si="2"/>
        <v>134.87</v>
      </c>
      <c r="H71" s="7" t="s">
        <v>133</v>
      </c>
      <c r="I71" s="10" t="s">
        <v>94</v>
      </c>
    </row>
    <row r="72" spans="1:9" x14ac:dyDescent="0.2">
      <c r="A72" s="5">
        <v>5101</v>
      </c>
      <c r="B72" s="5" t="s">
        <v>134</v>
      </c>
      <c r="C72" s="6">
        <v>1078.3</v>
      </c>
      <c r="D72" s="7" t="s">
        <v>135</v>
      </c>
      <c r="E72" s="7" t="s">
        <v>40</v>
      </c>
      <c r="F72" s="8">
        <v>45912</v>
      </c>
      <c r="G72" s="6">
        <f t="shared" si="2"/>
        <v>1078.3</v>
      </c>
      <c r="H72" s="7" t="s">
        <v>136</v>
      </c>
      <c r="I72" s="10" t="s">
        <v>94</v>
      </c>
    </row>
    <row r="73" spans="1:9" ht="22.5" x14ac:dyDescent="0.2">
      <c r="A73" s="5">
        <v>4969</v>
      </c>
      <c r="B73" s="5" t="s">
        <v>17</v>
      </c>
      <c r="C73" s="6">
        <v>456</v>
      </c>
      <c r="D73" s="7" t="s">
        <v>14</v>
      </c>
      <c r="E73" s="7" t="s">
        <v>40</v>
      </c>
      <c r="F73" s="8">
        <v>45917</v>
      </c>
      <c r="G73" s="6">
        <f t="shared" si="2"/>
        <v>456</v>
      </c>
      <c r="H73" s="7" t="s">
        <v>137</v>
      </c>
      <c r="I73" s="10" t="s">
        <v>51</v>
      </c>
    </row>
    <row r="74" spans="1:9" x14ac:dyDescent="0.2">
      <c r="A74" s="5">
        <v>5824</v>
      </c>
      <c r="B74" s="5" t="s">
        <v>138</v>
      </c>
      <c r="C74" s="6">
        <v>1481.12</v>
      </c>
      <c r="D74" s="7" t="s">
        <v>9</v>
      </c>
      <c r="E74" s="7" t="s">
        <v>40</v>
      </c>
      <c r="F74" s="8">
        <v>45932</v>
      </c>
      <c r="G74" s="6">
        <f t="shared" si="2"/>
        <v>1481.12</v>
      </c>
      <c r="H74" s="7" t="s">
        <v>139</v>
      </c>
      <c r="I74" s="10" t="s">
        <v>94</v>
      </c>
    </row>
    <row r="75" spans="1:9" x14ac:dyDescent="0.2">
      <c r="A75" s="5">
        <v>5500</v>
      </c>
      <c r="B75" s="5" t="s">
        <v>140</v>
      </c>
      <c r="C75" s="6">
        <v>1989.33</v>
      </c>
      <c r="D75" s="7" t="s">
        <v>9</v>
      </c>
      <c r="E75" s="7" t="s">
        <v>40</v>
      </c>
      <c r="F75" s="8">
        <v>45918</v>
      </c>
      <c r="G75" s="6">
        <f t="shared" si="2"/>
        <v>1989.33</v>
      </c>
      <c r="H75" s="7" t="s">
        <v>141</v>
      </c>
      <c r="I75" s="10" t="s">
        <v>94</v>
      </c>
    </row>
    <row r="76" spans="1:9" ht="22.5" x14ac:dyDescent="0.2">
      <c r="A76" s="5">
        <v>4108</v>
      </c>
      <c r="B76" s="5" t="s">
        <v>142</v>
      </c>
      <c r="C76" s="6">
        <v>295</v>
      </c>
      <c r="D76" s="7" t="s">
        <v>9</v>
      </c>
      <c r="E76" s="7" t="s">
        <v>40</v>
      </c>
      <c r="F76" s="8">
        <v>45883</v>
      </c>
      <c r="G76" s="6">
        <f t="shared" si="2"/>
        <v>295</v>
      </c>
      <c r="H76" s="7" t="s">
        <v>143</v>
      </c>
      <c r="I76" s="10" t="s">
        <v>51</v>
      </c>
    </row>
    <row r="77" spans="1:9" ht="22.5" x14ac:dyDescent="0.2">
      <c r="A77" s="5">
        <v>4109</v>
      </c>
      <c r="B77" s="12" t="s">
        <v>153</v>
      </c>
      <c r="C77" s="6">
        <v>390</v>
      </c>
      <c r="D77" s="7" t="s">
        <v>9</v>
      </c>
      <c r="E77" s="7" t="s">
        <v>40</v>
      </c>
      <c r="F77" s="8">
        <v>45883</v>
      </c>
      <c r="G77" s="6">
        <f t="shared" si="2"/>
        <v>390</v>
      </c>
      <c r="H77" s="7" t="s">
        <v>144</v>
      </c>
      <c r="I77" s="10" t="s">
        <v>51</v>
      </c>
    </row>
    <row r="78" spans="1:9" x14ac:dyDescent="0.2">
      <c r="A78" s="5">
        <v>4143</v>
      </c>
      <c r="B78" s="5" t="s">
        <v>147</v>
      </c>
      <c r="C78" s="6">
        <v>7536.52</v>
      </c>
      <c r="D78" s="13" t="s">
        <v>151</v>
      </c>
      <c r="E78" s="7" t="s">
        <v>40</v>
      </c>
      <c r="F78" s="8">
        <v>45915</v>
      </c>
      <c r="G78" s="6">
        <f t="shared" ref="G78" si="3">C78</f>
        <v>7536.52</v>
      </c>
      <c r="H78" s="7" t="s">
        <v>148</v>
      </c>
      <c r="I78" s="10" t="s">
        <v>94</v>
      </c>
    </row>
    <row r="79" spans="1:9" ht="33.75" x14ac:dyDescent="0.2">
      <c r="A79" s="5">
        <v>5504</v>
      </c>
      <c r="B79" s="5" t="s">
        <v>145</v>
      </c>
      <c r="C79" s="6">
        <v>10919.9</v>
      </c>
      <c r="D79" s="13" t="s">
        <v>152</v>
      </c>
      <c r="E79" s="7" t="s">
        <v>40</v>
      </c>
      <c r="F79" s="8">
        <v>45916</v>
      </c>
      <c r="G79" s="6">
        <f t="shared" si="2"/>
        <v>10919.9</v>
      </c>
      <c r="H79" s="7" t="s">
        <v>146</v>
      </c>
      <c r="I79" s="10" t="s">
        <v>94</v>
      </c>
    </row>
    <row r="80" spans="1:9" x14ac:dyDescent="0.2">
      <c r="A80" s="5">
        <v>7000</v>
      </c>
      <c r="B80" s="5" t="s">
        <v>165</v>
      </c>
      <c r="C80" s="6">
        <v>1.52</v>
      </c>
      <c r="D80" s="13" t="s">
        <v>151</v>
      </c>
      <c r="E80" s="7" t="s">
        <v>166</v>
      </c>
      <c r="F80" s="8">
        <v>45905</v>
      </c>
      <c r="G80" s="6">
        <f t="shared" si="2"/>
        <v>1.52</v>
      </c>
      <c r="H80" s="7" t="s">
        <v>168</v>
      </c>
      <c r="I80" s="10" t="s">
        <v>167</v>
      </c>
    </row>
    <row r="81" spans="1:9" x14ac:dyDescent="0.2">
      <c r="A81" s="5">
        <v>100000</v>
      </c>
      <c r="B81" s="5" t="s">
        <v>147</v>
      </c>
      <c r="C81" s="6">
        <v>7536.52</v>
      </c>
      <c r="D81" s="13" t="s">
        <v>151</v>
      </c>
      <c r="E81" s="7" t="s">
        <v>40</v>
      </c>
      <c r="F81" s="8">
        <v>45915</v>
      </c>
      <c r="G81" s="6">
        <f t="shared" ref="G81" si="4">C81</f>
        <v>7536.52</v>
      </c>
      <c r="H81" s="7" t="s">
        <v>148</v>
      </c>
      <c r="I81" s="10" t="s">
        <v>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Certificados-4</dc:creator>
  <cp:lastModifiedBy>Certificados-4</cp:lastModifiedBy>
  <dcterms:created xsi:type="dcterms:W3CDTF">2025-10-21T15:00:50Z</dcterms:created>
  <dcterms:modified xsi:type="dcterms:W3CDTF">2025-10-22T15:59:50Z</dcterms:modified>
</cp:coreProperties>
</file>